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man/Desktop/"/>
    </mc:Choice>
  </mc:AlternateContent>
  <xr:revisionPtr revIDLastSave="0" documentId="13_ncr:1_{A51C12FD-531F-9F45-8569-09EB8A1CA756}" xr6:coauthVersionLast="47" xr6:coauthVersionMax="47" xr10:uidLastSave="{00000000-0000-0000-0000-000000000000}"/>
  <bookViews>
    <workbookView xWindow="11580" yWindow="5480" windowWidth="28040" windowHeight="17180" xr2:uid="{CB2400AB-89AF-E642-9617-0D3B1B60F103}"/>
  </bookViews>
  <sheets>
    <sheet name="Model &amp; Analysis" sheetId="1" r:id="rId1"/>
    <sheet name="Data_Summary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4" i="1" l="1"/>
  <c r="E15" i="1"/>
  <c r="E16" i="1"/>
  <c r="E17" i="1"/>
  <c r="D6" i="1"/>
  <c r="F22" i="1"/>
  <c r="F23" i="1"/>
  <c r="F24" i="1"/>
  <c r="E22" i="1"/>
  <c r="E23" i="1"/>
  <c r="E24" i="1"/>
  <c r="D22" i="1"/>
  <c r="D23" i="1"/>
  <c r="D24" i="1"/>
  <c r="E19" i="2"/>
  <c r="C19" i="2"/>
  <c r="G19" i="2"/>
  <c r="D14" i="1"/>
  <c r="D15" i="1"/>
  <c r="D16" i="1"/>
  <c r="D17" i="1"/>
  <c r="C14" i="1"/>
  <c r="C18" i="1" s="1"/>
  <c r="C15" i="1"/>
  <c r="C16" i="1"/>
  <c r="C17" i="1"/>
  <c r="B14" i="1"/>
  <c r="B15" i="1"/>
  <c r="B16" i="1"/>
  <c r="B17" i="1"/>
  <c r="A15" i="1"/>
  <c r="A16" i="1"/>
  <c r="A17" i="1"/>
  <c r="A14" i="1"/>
  <c r="B6" i="2"/>
  <c r="C6" i="2"/>
  <c r="D6" i="2"/>
  <c r="F6" i="2"/>
  <c r="B8" i="1" s="1"/>
  <c r="E6" i="2"/>
  <c r="G6" i="2"/>
  <c r="B7" i="1" l="1"/>
  <c r="B9" i="1" s="1"/>
  <c r="B6" i="1"/>
  <c r="D18" i="1"/>
  <c r="B18" i="1"/>
  <c r="C7" i="1"/>
  <c r="F14" i="1" l="1"/>
  <c r="H14" i="1" s="1"/>
  <c r="G14" i="1"/>
  <c r="G17" i="1"/>
  <c r="F17" i="1"/>
  <c r="E18" i="1"/>
  <c r="H17" i="1"/>
  <c r="G15" i="1"/>
  <c r="G18" i="1" s="1"/>
  <c r="F15" i="1"/>
  <c r="G16" i="1"/>
  <c r="F16" i="1"/>
  <c r="C8" i="1"/>
  <c r="D8" i="1" s="1"/>
  <c r="D7" i="1"/>
  <c r="D9" i="1" s="1"/>
  <c r="C9" i="1" s="1"/>
  <c r="G24" i="1" l="1"/>
  <c r="G23" i="1"/>
  <c r="G22" i="1"/>
  <c r="H16" i="1"/>
  <c r="F18" i="1"/>
  <c r="H15" i="1"/>
  <c r="H18" i="1" l="1"/>
</calcChain>
</file>

<file path=xl/sharedStrings.xml><?xml version="1.0" encoding="utf-8"?>
<sst xmlns="http://schemas.openxmlformats.org/spreadsheetml/2006/main" count="56" uniqueCount="53">
  <si>
    <t>Commercial</t>
  </si>
  <si>
    <t>Self-Pay</t>
  </si>
  <si>
    <t>Medicaid</t>
  </si>
  <si>
    <t>Medicare</t>
  </si>
  <si>
    <t>Insurance Type</t>
  </si>
  <si>
    <t>total_claims</t>
  </si>
  <si>
    <t>total_billed</t>
  </si>
  <si>
    <t>total_paid</t>
  </si>
  <si>
    <t>leaked_claims_count</t>
  </si>
  <si>
    <t>leaked_dollars</t>
  </si>
  <si>
    <t>adjusted_clean_paid</t>
  </si>
  <si>
    <t>Reason Code</t>
  </si>
  <si>
    <t>total_leaked_claims</t>
  </si>
  <si>
    <t>total_leaked_dollars</t>
  </si>
  <si>
    <t>flagged_claims</t>
  </si>
  <si>
    <t>flagged_dollars</t>
  </si>
  <si>
    <t>unflagged_claims</t>
  </si>
  <si>
    <t>unflagged_dollars</t>
  </si>
  <si>
    <t>Incorrect billing information</t>
  </si>
  <si>
    <t>Patient eligibility issues</t>
  </si>
  <si>
    <t>Lack of medical necessity</t>
  </si>
  <si>
    <t>Missing documentation</t>
  </si>
  <si>
    <t>Authorization not obtained</t>
  </si>
  <si>
    <t>Duplicate claim</t>
  </si>
  <si>
    <t>Pre-existing condition</t>
  </si>
  <si>
    <t>Service not covered</t>
  </si>
  <si>
    <t>Total</t>
  </si>
  <si>
    <t>Desired MLR:</t>
  </si>
  <si>
    <t>Portfolio Financial Metric</t>
  </si>
  <si>
    <t>Reported (With Leakage)</t>
  </si>
  <si>
    <t>Audit Adjustment</t>
  </si>
  <si>
    <t>Adjusted (True Clean)</t>
  </si>
  <si>
    <t>Earned Premium</t>
  </si>
  <si>
    <t>Incurred Losses</t>
  </si>
  <si>
    <t>Erroneous Payment Leakage</t>
  </si>
  <si>
    <t>Medical Loss Ratio</t>
  </si>
  <si>
    <t>Reported Losses ($)</t>
  </si>
  <si>
    <t>Leaked Amount ($)</t>
  </si>
  <si>
    <t>Adjusted Losses ($)</t>
  </si>
  <si>
    <t>Allocated Premium ($)</t>
  </si>
  <si>
    <t>Adjusted MLR (%)</t>
  </si>
  <si>
    <t>Reported MLR (%)</t>
  </si>
  <si>
    <t>Variance (bps)</t>
  </si>
  <si>
    <t>Scenarios</t>
  </si>
  <si>
    <t>Conservative</t>
  </si>
  <si>
    <t>Base</t>
  </si>
  <si>
    <t>Aggressive</t>
  </si>
  <si>
    <t>Flagged Recovery Rate</t>
  </si>
  <si>
    <t>Unflagged Recovery Rate</t>
  </si>
  <si>
    <t>Gross Dollars Recovered</t>
  </si>
  <si>
    <t>Net Cash Recovered</t>
  </si>
  <si>
    <t>Audit &amp; Collection Contingency Fee (20%)</t>
  </si>
  <si>
    <t>Net MLR Impact (bps)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</si>
</sst>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70" formatCode="_(&quot;$&quot;* #,##0.0_);_(&quot;$&quot;* \(#,##0.0\);_(&quot;$&quot;* &quot;-&quot;?_);_(@_)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FFFFFF"/>
      <name val="American Typewriter"/>
      <family val="1"/>
    </font>
    <font>
      <sz val="20"/>
      <color theme="1"/>
      <name val="Aptos Display"/>
      <scheme val="major"/>
    </font>
    <font>
      <sz val="20"/>
      <color theme="1"/>
      <name val="Aptos Narrow"/>
      <family val="2"/>
      <scheme val="minor"/>
    </font>
    <font>
      <sz val="20"/>
      <color theme="1"/>
      <name val="Aptos Narrow (Body)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theme="9"/>
      </left>
      <right/>
      <top style="medium">
        <color theme="9"/>
      </top>
      <bottom style="medium">
        <color theme="9"/>
      </bottom>
      <diagonal/>
    </border>
    <border>
      <left/>
      <right style="medium">
        <color theme="9"/>
      </right>
      <top style="medium">
        <color theme="9"/>
      </top>
      <bottom style="medium">
        <color theme="9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1" xfId="0" applyFont="1" applyBorder="1"/>
    <xf numFmtId="44" fontId="4" fillId="0" borderId="0" xfId="1" applyFont="1"/>
    <xf numFmtId="0" fontId="5" fillId="0" borderId="0" xfId="0" applyFont="1"/>
    <xf numFmtId="9" fontId="4" fillId="0" borderId="0" xfId="2" applyFont="1"/>
    <xf numFmtId="9" fontId="4" fillId="0" borderId="0" xfId="0" applyNumberFormat="1" applyFont="1"/>
    <xf numFmtId="0" fontId="4" fillId="0" borderId="0" xfId="0" applyFont="1" applyBorder="1"/>
    <xf numFmtId="0" fontId="4" fillId="0" borderId="0" xfId="0" applyFont="1" applyFill="1" applyBorder="1"/>
    <xf numFmtId="44" fontId="4" fillId="0" borderId="0" xfId="1" applyFont="1" applyBorder="1"/>
    <xf numFmtId="4" fontId="4" fillId="0" borderId="0" xfId="0" applyNumberFormat="1" applyFont="1"/>
    <xf numFmtId="44" fontId="4" fillId="0" borderId="0" xfId="0" applyNumberFormat="1" applyFont="1"/>
    <xf numFmtId="10" fontId="4" fillId="0" borderId="0" xfId="0" applyNumberFormat="1" applyFont="1"/>
    <xf numFmtId="10" fontId="4" fillId="0" borderId="0" xfId="2" applyNumberFormat="1" applyFont="1"/>
    <xf numFmtId="10" fontId="4" fillId="0" borderId="2" xfId="0" applyNumberFormat="1" applyFont="1" applyBorder="1"/>
    <xf numFmtId="1" fontId="4" fillId="0" borderId="0" xfId="0" applyNumberFormat="1" applyFont="1"/>
    <xf numFmtId="1" fontId="4" fillId="0" borderId="0" xfId="2" applyNumberFormat="1" applyFont="1"/>
    <xf numFmtId="170" fontId="4" fillId="0" borderId="0" xfId="2" applyNumberFormat="1" applyFont="1"/>
    <xf numFmtId="44" fontId="4" fillId="0" borderId="0" xfId="2" applyNumberFormat="1" applyFont="1"/>
  </cellXfs>
  <cellStyles count="3">
    <cellStyle name="Currency" xfId="1" builtinId="4"/>
    <cellStyle name="Normal" xfId="0" builtinId="0"/>
    <cellStyle name="Percent" xfId="2" builtinId="5"/>
  </cellStyles>
  <dxfs count="61">
    <dxf>
      <font>
        <strike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  <numFmt numFmtId="170" formatCode="_(&quot;$&quot;* #,##0.0_);_(&quot;$&quot;* \(#,##0.0\);_(&quot;$&quot;* &quot;-&quot;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  <numFmt numFmtId="1" formatCode="0"/>
    </dxf>
    <dxf>
      <font>
        <strike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  <numFmt numFmtId="14" formatCode="0.00%"/>
    </dxf>
    <dxf>
      <font>
        <strike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  <numFmt numFmtId="34" formatCode="_(&quot;$&quot;* #,##0.00_);_(&quot;$&quot;* \(#,##0.00\);_(&quot;$&quot;* &quot;-&quot;??_);_(@_)"/>
    </dxf>
    <dxf>
      <font>
        <strike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Display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Display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Display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Display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Display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Display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Display"/>
        <scheme val="major"/>
      </font>
    </dxf>
    <dxf>
      <font>
        <strike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Display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Display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Display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Display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Display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Display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Display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Display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Display"/>
        <scheme val="maj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F20A299-3130-3647-AF59-0E72FAE1FF3F}" name="Analysis" displayName="Analysis" ref="A5:D9" totalsRowShown="0" headerRowDxfId="32">
  <autoFilter ref="A5:D9" xr:uid="{0F20A299-3130-3647-AF59-0E72FAE1FF3F}"/>
  <tableColumns count="4">
    <tableColumn id="1" xr3:uid="{132FB6B8-892B-6F4B-8304-FF7B7CB9422C}" name="Portfolio Financial Metric" dataDxfId="35"/>
    <tableColumn id="2" xr3:uid="{12C79ADD-7A3B-704F-8A1C-CC4DB7FC4BC5}" name="Reported (With Leakage)" dataDxfId="34" dataCellStyle="Currency"/>
    <tableColumn id="3" xr3:uid="{E269D947-B65A-9245-AFC5-6D205C0C59D7}" name="Audit Adjustment" dataDxfId="33" dataCellStyle="Currency"/>
    <tableColumn id="4" xr3:uid="{DC66EC98-0FD1-3841-A729-9E438C7DB585}" name="Adjusted (True Clean)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9D82B70-F9C3-8540-9D7C-F87532F21539}" name="Table1" displayName="Table1" ref="A13:H18" totalsRowCount="1" headerRowDxfId="30" dataDxfId="29">
  <autoFilter ref="A13:H17" xr:uid="{79D82B70-F9C3-8540-9D7C-F87532F21539}"/>
  <tableColumns count="8">
    <tableColumn id="1" xr3:uid="{5C91AFD3-A923-F144-A7F2-35AC690541BD}" name="Insurance Type" totalsRowLabel="Total" dataDxfId="31" totalsRowDxfId="28">
      <calculatedColumnFormula>Data_Summary!A2</calculatedColumnFormula>
    </tableColumn>
    <tableColumn id="2" xr3:uid="{F73F3B0B-464E-064F-9457-B9BC39F9CC0A}" name="Reported Losses ($)" totalsRowFunction="sum" dataDxfId="27" totalsRowDxfId="6" dataCellStyle="Currency">
      <calculatedColumnFormula>Data_Summary!D2</calculatedColumnFormula>
    </tableColumn>
    <tableColumn id="3" xr3:uid="{28260D88-C91D-6849-87AA-26F3810CE78C}" name="Leaked Amount ($)" totalsRowFunction="sum" dataDxfId="26" totalsRowDxfId="5" dataCellStyle="Currency">
      <calculatedColumnFormula>Data_Summary!F2</calculatedColumnFormula>
    </tableColumn>
    <tableColumn id="4" xr3:uid="{EAD2364D-B23E-F84E-9247-23F502598EE1}" name="Adjusted Losses ($)" totalsRowFunction="sum" dataDxfId="25" totalsRowDxfId="4" dataCellStyle="Currency">
      <calculatedColumnFormula>Data_Summary!G2</calculatedColumnFormula>
    </tableColumn>
    <tableColumn id="5" xr3:uid="{527FA49B-756E-9D4A-A767-E542769E399A}" name="Allocated Premium ($)" totalsRowFunction="sum" dataDxfId="0" totalsRowDxfId="24" dataCellStyle="Currency">
      <calculatedColumnFormula>Table1[[#This Row],[Reported Losses ($)]]/$C$3</calculatedColumnFormula>
    </tableColumn>
    <tableColumn id="6" xr3:uid="{D6F6C3E6-065B-4D4F-93E8-1116438E3F75}" name="Reported MLR (%)" totalsRowFunction="average" dataDxfId="23" totalsRowDxfId="3" dataCellStyle="Percent">
      <calculatedColumnFormula>Table1[[#This Row],[Reported Losses ($)]]/Table1[[#This Row],[Allocated Premium ($)]]</calculatedColumnFormula>
    </tableColumn>
    <tableColumn id="7" xr3:uid="{351AB5DF-8757-D240-AE54-2D5311AAF8F8}" name="Adjusted MLR (%)" totalsRowFunction="average" dataDxfId="22" totalsRowDxfId="2" dataCellStyle="Percent">
      <calculatedColumnFormula>Table1[[#This Row],[Adjusted Losses ($)]]/Table1[[#This Row],[Allocated Premium ($)]]</calculatedColumnFormula>
    </tableColumn>
    <tableColumn id="8" xr3:uid="{FD2B88E1-2FCF-4047-80A5-3A521A69152C}" name="Variance (bps)" totalsRowFunction="average" dataDxfId="21" totalsRowDxfId="1">
      <calculatedColumnFormula>(Table1[[#This Row],[Adjusted MLR (%)]]-Table1[[#This Row],[Reported MLR (%)]])*10000</calculatedColumnFormula>
    </tableColumn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28A2224-6828-6347-A477-F9EFDE2E4DAE}" name="SensitivityModel" displayName="SensitivityModel" ref="A21:G24" totalsRowShown="0" headerRowDxfId="18">
  <autoFilter ref="A21:G24" xr:uid="{D28A2224-6828-6347-A477-F9EFDE2E4DAE}"/>
  <tableColumns count="7">
    <tableColumn id="1" xr3:uid="{BDD40F03-1F4B-FB42-8609-C5DB69AC4AEC}" name="Scenarios" dataDxfId="20"/>
    <tableColumn id="2" xr3:uid="{105CE903-DFEC-8E41-8BB3-2A0003251EDC}" name="Flagged Recovery Rate" dataCellStyle="Percent"/>
    <tableColumn id="3" xr3:uid="{064A98CD-AA56-BD4C-94D6-E0E86C1A68BE}" name="Unflagged Recovery Rate" dataDxfId="19" dataCellStyle="Percent"/>
    <tableColumn id="4" xr3:uid="{EB1202EB-928D-3245-A81E-B344124CE248}" name="Gross Dollars Recovered" dataDxfId="10" dataCellStyle="Currency">
      <calculatedColumnFormula>(SensitivityModel[[#This Row],[Flagged Recovery Rate]])*ReasonCodeLeaks[[#Totals],[flagged_dollars]]+(SensitivityModel[[#This Row],[Unflagged Recovery Rate]])*ReasonCodeLeaks[[#Totals],[unflagged_dollars]]</calculatedColumnFormula>
    </tableColumn>
    <tableColumn id="5" xr3:uid="{A03B2F7E-1797-FB46-ADBB-3A378D9565DF}" name="Audit &amp; Collection Contingency Fee (20%)" dataDxfId="9" dataCellStyle="Percent">
      <calculatedColumnFormula>(0.2)*SensitivityModel[[#This Row],[Gross Dollars Recovered]]</calculatedColumnFormula>
    </tableColumn>
    <tableColumn id="6" xr3:uid="{7BC9AC7A-B120-D340-A22A-F6E404C6A918}" name="Net Cash Recovered" dataDxfId="8" dataCellStyle="Percent">
      <calculatedColumnFormula>SensitivityModel[[#This Row],[Gross Dollars Recovered]]-SensitivityModel[[#This Row],[Audit &amp; Collection Contingency Fee (20%)]]</calculatedColumnFormula>
    </tableColumn>
    <tableColumn id="7" xr3:uid="{049AE953-5FF9-1C43-961F-63D11C8D86A2}" name="Net MLR Impact (bps)" dataDxfId="7" dataCellStyle="Percent">
      <calculatedColumnFormula>-(0.82-(Table1[[#Totals],[Reported Losses ($)]]-SensitivityModel[[#This Row],[Net Cash Recovered]])/Table1[[#Totals],[Allocated Premium ($)]])*10000</calculatedColumnFormula>
    </tableColumn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1A306A-F47D-7349-8895-D21CF8CCDAB4}" name="LeakedInsuranceTypes" displayName="LeakedInsuranceTypes" ref="A1:G6" totalsRowCount="1" headerRowDxfId="53" dataDxfId="52">
  <autoFilter ref="A1:G5" xr:uid="{9D1A306A-F47D-7349-8895-D21CF8CCDAB4}"/>
  <tableColumns count="7">
    <tableColumn id="1" xr3:uid="{9AE888AB-0B91-3845-AAD7-949910BCFAEC}" name="Insurance Type" totalsRowLabel="Total" dataDxfId="60" totalsRowDxfId="42"/>
    <tableColumn id="2" xr3:uid="{A8C09DC3-E606-8F49-AAF6-FF0C0BA33B2C}" name="total_claims" totalsRowFunction="sum" dataDxfId="59" totalsRowDxfId="41"/>
    <tableColumn id="3" xr3:uid="{8FC6C9CC-0E0D-2B44-853E-F0213D33ACD9}" name="total_billed" totalsRowFunction="sum" dataDxfId="58" totalsRowDxfId="40"/>
    <tableColumn id="4" xr3:uid="{F516A13B-D1E8-5742-A07C-1BFDE2343ADB}" name="total_paid" totalsRowFunction="sum" dataDxfId="57" totalsRowDxfId="39"/>
    <tableColumn id="5" xr3:uid="{838E9AB1-AA41-0F45-A754-E6C7238DE466}" name="leaked_claims_count" totalsRowFunction="sum" dataDxfId="56" totalsRowDxfId="38"/>
    <tableColumn id="6" xr3:uid="{E6DB146F-FFF4-5F4E-8004-5050FA6522E2}" name="leaked_dollars" totalsRowFunction="sum" dataDxfId="55" totalsRowDxfId="37"/>
    <tableColumn id="7" xr3:uid="{8C871B89-F7BE-9A4A-AA08-49FED0444966}" name="adjusted_clean_paid" totalsRowFunction="sum" dataDxfId="54" totalsRowDxfId="36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347ED9-F0BD-AE4F-9F5B-61748BF4FE19}" name="ReasonCodeLeaks" displayName="ReasonCodeLeaks" ref="A10:G19" totalsRowCount="1" headerRowDxfId="44" dataDxfId="43">
  <autoFilter ref="A10:G18" xr:uid="{1E347ED9-F0BD-AE4F-9F5B-61748BF4FE19}"/>
  <tableColumns count="7">
    <tableColumn id="1" xr3:uid="{6451438B-6599-5045-A2CB-2550A9C4195D}" name="Reason Code" totalsRowLabel="Total" dataDxfId="51" totalsRowDxfId="17"/>
    <tableColumn id="2" xr3:uid="{15A48783-95ED-7942-ABE6-F7D6380DF55F}" name="total_leaked_claims" dataDxfId="50" totalsRowDxfId="16"/>
    <tableColumn id="3" xr3:uid="{A68A905A-C484-414F-8063-CE7E25C22B0D}" name="total_leaked_dollars" totalsRowFunction="sum" dataDxfId="49" totalsRowDxfId="12"/>
    <tableColumn id="4" xr3:uid="{A858BBAF-A58A-C44B-9A4D-98941A0BA584}" name="flagged_claims" dataDxfId="48" totalsRowDxfId="15"/>
    <tableColumn id="5" xr3:uid="{BA38BEF6-F144-7848-9948-1B3050788D20}" name="flagged_dollars" totalsRowFunction="sum" dataDxfId="47" totalsRowDxfId="11"/>
    <tableColumn id="6" xr3:uid="{11699443-DFE5-C947-B8B8-46D72DDAC189}" name="unflagged_claims" dataDxfId="46" totalsRowDxfId="14"/>
    <tableColumn id="7" xr3:uid="{6EB51E9F-16D8-464E-B351-D9D69D12EACA}" name="unflagged_dollars" totalsRowFunction="sum" dataDxfId="45" totalsRowDxfId="13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A677F-49BA-B944-BE8D-69DC546AF041}">
  <dimension ref="A1:M24"/>
  <sheetViews>
    <sheetView tabSelected="1" topLeftCell="B1" zoomScale="80" zoomScaleNormal="80" workbookViewId="0">
      <selection activeCell="H18" sqref="H18"/>
    </sheetView>
  </sheetViews>
  <sheetFormatPr baseColWidth="10" defaultRowHeight="16" x14ac:dyDescent="0.2"/>
  <cols>
    <col min="1" max="1" width="40.1640625" bestFit="1" customWidth="1"/>
    <col min="2" max="2" width="38.5" bestFit="1" customWidth="1"/>
    <col min="3" max="3" width="37.5" customWidth="1"/>
    <col min="4" max="4" width="38.5" bestFit="1" customWidth="1"/>
    <col min="5" max="5" width="62.5" bestFit="1" customWidth="1"/>
    <col min="6" max="6" width="32.5" bestFit="1" customWidth="1"/>
    <col min="7" max="7" width="34" bestFit="1" customWidth="1"/>
    <col min="8" max="8" width="24.5" bestFit="1" customWidth="1"/>
    <col min="9" max="9" width="20.33203125" bestFit="1" customWidth="1"/>
    <col min="10" max="10" width="25.5" customWidth="1"/>
  </cols>
  <sheetData>
    <row r="1" spans="1:9" x14ac:dyDescent="0.2">
      <c r="C1" s="1"/>
      <c r="D1" s="1"/>
      <c r="E1" s="1"/>
      <c r="F1" s="1"/>
      <c r="G1" s="1"/>
      <c r="H1" s="1"/>
      <c r="I1" s="1"/>
    </row>
    <row r="2" spans="1:9" ht="17" thickBot="1" x14ac:dyDescent="0.25"/>
    <row r="3" spans="1:9" ht="28" thickBot="1" x14ac:dyDescent="0.4">
      <c r="A3" s="3"/>
      <c r="B3" s="4" t="s">
        <v>27</v>
      </c>
      <c r="C3" s="16">
        <v>0.82</v>
      </c>
      <c r="D3" s="3"/>
    </row>
    <row r="4" spans="1:9" ht="27" x14ac:dyDescent="0.35">
      <c r="A4" s="3"/>
      <c r="B4" s="3"/>
      <c r="C4" s="3"/>
      <c r="D4" s="3"/>
    </row>
    <row r="5" spans="1:9" ht="27" x14ac:dyDescent="0.35">
      <c r="A5" s="3" t="s">
        <v>28</v>
      </c>
      <c r="B5" s="3" t="s">
        <v>29</v>
      </c>
      <c r="C5" s="9" t="s">
        <v>30</v>
      </c>
      <c r="D5" s="10" t="s">
        <v>31</v>
      </c>
    </row>
    <row r="6" spans="1:9" ht="27" x14ac:dyDescent="0.35">
      <c r="A6" s="3" t="s">
        <v>32</v>
      </c>
      <c r="B6" s="5">
        <f>LeakedInsuranceTypes[[#Totals],[total_paid]]/C3</f>
        <v>244821.95121951221</v>
      </c>
      <c r="C6" s="5">
        <v>0</v>
      </c>
      <c r="D6" s="12">
        <f>Analysis[[#This Row],[Reported (With Leakage)]]</f>
        <v>244821.95121951221</v>
      </c>
    </row>
    <row r="7" spans="1:9" ht="27" x14ac:dyDescent="0.35">
      <c r="A7" s="3" t="s">
        <v>33</v>
      </c>
      <c r="B7" s="11">
        <f>LeakedInsuranceTypes[[#Totals],[total_paid]]</f>
        <v>200754</v>
      </c>
      <c r="C7" s="5">
        <f>-B8</f>
        <v>-22547</v>
      </c>
      <c r="D7" s="13">
        <f>B7+C7</f>
        <v>178207</v>
      </c>
    </row>
    <row r="8" spans="1:9" ht="27" x14ac:dyDescent="0.35">
      <c r="A8" s="3" t="s">
        <v>34</v>
      </c>
      <c r="B8" s="5">
        <f>LeakedInsuranceTypes[[#Totals],[leaked_dollars]]</f>
        <v>22547</v>
      </c>
      <c r="C8" s="5">
        <f>C7</f>
        <v>-22547</v>
      </c>
      <c r="D8" s="13">
        <f>B8+C8</f>
        <v>0</v>
      </c>
    </row>
    <row r="9" spans="1:9" ht="27" x14ac:dyDescent="0.35">
      <c r="A9" s="3" t="s">
        <v>35</v>
      </c>
      <c r="B9" s="15">
        <f>B7/B6</f>
        <v>0.82</v>
      </c>
      <c r="C9" s="14">
        <f>-(B9-D9)</f>
        <v>-9.2095499965131444E-2</v>
      </c>
      <c r="D9" s="15">
        <f>D7/D6</f>
        <v>0.72790450003486851</v>
      </c>
    </row>
    <row r="10" spans="1:9" ht="27" x14ac:dyDescent="0.35">
      <c r="A10" s="3"/>
      <c r="B10" s="5"/>
      <c r="C10" s="14"/>
      <c r="D10" s="3"/>
    </row>
    <row r="11" spans="1:9" ht="27" x14ac:dyDescent="0.35">
      <c r="A11" s="3"/>
      <c r="B11" s="3"/>
      <c r="C11" s="3"/>
      <c r="D11" s="3"/>
    </row>
    <row r="13" spans="1:9" ht="27" x14ac:dyDescent="0.35">
      <c r="A13" s="3" t="s">
        <v>4</v>
      </c>
      <c r="B13" s="3" t="s">
        <v>36</v>
      </c>
      <c r="C13" s="3" t="s">
        <v>37</v>
      </c>
      <c r="D13" s="3" t="s">
        <v>38</v>
      </c>
      <c r="E13" s="3" t="s">
        <v>39</v>
      </c>
      <c r="F13" s="3" t="s">
        <v>41</v>
      </c>
      <c r="G13" s="3" t="s">
        <v>40</v>
      </c>
      <c r="H13" s="3" t="s">
        <v>42</v>
      </c>
    </row>
    <row r="14" spans="1:9" ht="27" x14ac:dyDescent="0.35">
      <c r="A14" s="3" t="str">
        <f>Data_Summary!A2</f>
        <v>Commercial</v>
      </c>
      <c r="B14" s="5">
        <f>Data_Summary!D2</f>
        <v>53165</v>
      </c>
      <c r="C14" s="5">
        <f>Data_Summary!F2</f>
        <v>6335</v>
      </c>
      <c r="D14" s="5">
        <f>Data_Summary!G2</f>
        <v>46830</v>
      </c>
      <c r="E14" s="5">
        <f>Table1[[#This Row],[Reported Losses ($)]]/$C$3</f>
        <v>64835.365853658543</v>
      </c>
      <c r="F14" s="15">
        <f>Table1[[#This Row],[Reported Losses ($)]]/Table1[[#This Row],[Allocated Premium ($)]]</f>
        <v>0.82</v>
      </c>
      <c r="G14" s="15">
        <f>Table1[[#This Row],[Adjusted Losses ($)]]/Table1[[#This Row],[Allocated Premium ($)]]</f>
        <v>0.72229098090849231</v>
      </c>
      <c r="H14" s="17">
        <f>(Table1[[#This Row],[Adjusted MLR (%)]]-Table1[[#This Row],[Reported MLR (%)]])*10000</f>
        <v>-977.09019091507639</v>
      </c>
    </row>
    <row r="15" spans="1:9" ht="27" x14ac:dyDescent="0.35">
      <c r="A15" s="3" t="str">
        <f>Data_Summary!A3</f>
        <v>Self-Pay</v>
      </c>
      <c r="B15" s="5">
        <f>Data_Summary!D3</f>
        <v>50256</v>
      </c>
      <c r="C15" s="5">
        <f>Data_Summary!F3</f>
        <v>5819</v>
      </c>
      <c r="D15" s="5">
        <f>Data_Summary!G3</f>
        <v>44437</v>
      </c>
      <c r="E15" s="5">
        <f>Table1[[#This Row],[Reported Losses ($)]]/$C$3</f>
        <v>61287.804878048781</v>
      </c>
      <c r="F15" s="15">
        <f>Table1[[#This Row],[Reported Losses ($)]]/Table1[[#This Row],[Allocated Premium ($)]]</f>
        <v>0.82</v>
      </c>
      <c r="G15" s="15">
        <f>Table1[[#This Row],[Adjusted Losses ($)]]/Table1[[#This Row],[Allocated Premium ($)]]</f>
        <v>0.72505452085323141</v>
      </c>
      <c r="H15" s="18">
        <f>(Table1[[#This Row],[Adjusted MLR (%)]]-Table1[[#This Row],[Reported MLR (%)]])*10000</f>
        <v>-949.45479146768537</v>
      </c>
    </row>
    <row r="16" spans="1:9" ht="27" x14ac:dyDescent="0.35">
      <c r="A16" s="3" t="str">
        <f>Data_Summary!A4</f>
        <v>Medicaid</v>
      </c>
      <c r="B16" s="5">
        <f>Data_Summary!D4</f>
        <v>53177</v>
      </c>
      <c r="C16" s="5">
        <f>Data_Summary!F4</f>
        <v>5507</v>
      </c>
      <c r="D16" s="5">
        <f>Data_Summary!G4</f>
        <v>47670</v>
      </c>
      <c r="E16" s="5">
        <f>Table1[[#This Row],[Reported Losses ($)]]/$C$3</f>
        <v>64850.000000000007</v>
      </c>
      <c r="F16" s="15">
        <f>Table1[[#This Row],[Reported Losses ($)]]/Table1[[#This Row],[Allocated Premium ($)]]</f>
        <v>0.82</v>
      </c>
      <c r="G16" s="15">
        <f>Table1[[#This Row],[Adjusted Losses ($)]]/Table1[[#This Row],[Allocated Premium ($)]]</f>
        <v>0.73508095605242862</v>
      </c>
      <c r="H16" s="17">
        <f>(Table1[[#This Row],[Adjusted MLR (%)]]-Table1[[#This Row],[Reported MLR (%)]])*10000</f>
        <v>-849.19043947571322</v>
      </c>
    </row>
    <row r="17" spans="1:13" ht="27" x14ac:dyDescent="0.35">
      <c r="A17" s="3" t="str">
        <f>Data_Summary!A5</f>
        <v>Medicare</v>
      </c>
      <c r="B17" s="5">
        <f>Data_Summary!D5</f>
        <v>44156</v>
      </c>
      <c r="C17" s="5">
        <f>Data_Summary!F5</f>
        <v>4886</v>
      </c>
      <c r="D17" s="5">
        <f>Data_Summary!G5</f>
        <v>39270</v>
      </c>
      <c r="E17" s="5">
        <f>Table1[[#This Row],[Reported Losses ($)]]/$C$3</f>
        <v>53848.780487804885</v>
      </c>
      <c r="F17" s="15">
        <f>Table1[[#This Row],[Reported Losses ($)]]/Table1[[#This Row],[Allocated Premium ($)]]</f>
        <v>0.82</v>
      </c>
      <c r="G17" s="15">
        <f>Table1[[#This Row],[Adjusted Losses ($)]]/Table1[[#This Row],[Allocated Premium ($)]]</f>
        <v>0.72926442612555475</v>
      </c>
      <c r="H17" s="17">
        <f>(Table1[[#This Row],[Adjusted MLR (%)]]-Table1[[#This Row],[Reported MLR (%)]])*10000</f>
        <v>-907.35573874445197</v>
      </c>
    </row>
    <row r="18" spans="1:13" ht="27" x14ac:dyDescent="0.35">
      <c r="A18" s="3" t="s">
        <v>26</v>
      </c>
      <c r="B18" s="13">
        <f>SUBTOTAL(109,Table1[Reported Losses ($)])</f>
        <v>200754</v>
      </c>
      <c r="C18" s="13">
        <f>SUBTOTAL(109,Table1[Leaked Amount ($)])</f>
        <v>22547</v>
      </c>
      <c r="D18" s="13">
        <f>SUBTOTAL(109,Table1[Adjusted Losses ($)])</f>
        <v>178207</v>
      </c>
      <c r="E18" s="13">
        <f>SUBTOTAL(109,Table1[Allocated Premium ($)])</f>
        <v>244821.95121951221</v>
      </c>
      <c r="F18" s="14">
        <f>SUBTOTAL(101,Table1[Reported MLR (%)])</f>
        <v>0.82</v>
      </c>
      <c r="G18" s="14">
        <f>SUBTOTAL(101,Table1[Adjusted MLR (%)])</f>
        <v>0.72792272098492683</v>
      </c>
      <c r="H18" s="17">
        <f>SUBTOTAL(101,Table1[Variance (bps)])</f>
        <v>-920.77279015073179</v>
      </c>
    </row>
    <row r="20" spans="1:13" ht="27" x14ac:dyDescent="0.35">
      <c r="H20" s="6"/>
      <c r="I20" s="7"/>
    </row>
    <row r="21" spans="1:13" ht="27" x14ac:dyDescent="0.35">
      <c r="A21" s="3" t="s">
        <v>43</v>
      </c>
      <c r="B21" s="3" t="s">
        <v>47</v>
      </c>
      <c r="C21" s="3" t="s">
        <v>48</v>
      </c>
      <c r="D21" s="3" t="s">
        <v>49</v>
      </c>
      <c r="E21" s="3" t="s">
        <v>51</v>
      </c>
      <c r="F21" s="3" t="s">
        <v>50</v>
      </c>
      <c r="G21" s="3" t="s">
        <v>52</v>
      </c>
      <c r="H21" s="3"/>
      <c r="I21" s="3"/>
    </row>
    <row r="22" spans="1:13" ht="27" x14ac:dyDescent="0.35">
      <c r="A22" s="3" t="s">
        <v>44</v>
      </c>
      <c r="B22" s="7">
        <v>0.5</v>
      </c>
      <c r="C22" s="7">
        <v>0.25</v>
      </c>
      <c r="D22" s="5">
        <f>(SensitivityModel[[#This Row],[Flagged Recovery Rate]])*ReasonCodeLeaks[[#Totals],[flagged_dollars]]+(SensitivityModel[[#This Row],[Unflagged Recovery Rate]])*ReasonCodeLeaks[[#Totals],[unflagged_dollars]]</f>
        <v>8501.25</v>
      </c>
      <c r="E22" s="19">
        <f>(0.2)*SensitivityModel[[#This Row],[Gross Dollars Recovered]]</f>
        <v>1700.25</v>
      </c>
      <c r="F22" s="20">
        <f>SensitivityModel[[#This Row],[Gross Dollars Recovered]]-SensitivityModel[[#This Row],[Audit &amp; Collection Contingency Fee (20%)]]</f>
        <v>6801</v>
      </c>
      <c r="G22" s="18">
        <f>-(0.82-(Table1[[#Totals],[Reported Losses ($)]]-SensitivityModel[[#This Row],[Net Cash Recovered]])/Table1[[#Totals],[Allocated Premium ($)]])*10000</f>
        <v>-277.79371768433037</v>
      </c>
      <c r="H22" s="3"/>
      <c r="I22" s="3"/>
    </row>
    <row r="23" spans="1:13" ht="27" x14ac:dyDescent="0.35">
      <c r="A23" s="3" t="s">
        <v>45</v>
      </c>
      <c r="B23" s="7">
        <v>0.75</v>
      </c>
      <c r="C23" s="7">
        <v>0.5</v>
      </c>
      <c r="D23" s="5">
        <f>(SensitivityModel[[#This Row],[Flagged Recovery Rate]])*ReasonCodeLeaks[[#Totals],[flagged_dollars]]+(SensitivityModel[[#This Row],[Unflagged Recovery Rate]])*ReasonCodeLeaks[[#Totals],[unflagged_dollars]]</f>
        <v>14138</v>
      </c>
      <c r="E23" s="19">
        <f>(0.2)*SensitivityModel[[#This Row],[Gross Dollars Recovered]]</f>
        <v>2827.6000000000004</v>
      </c>
      <c r="F23" s="20">
        <f>SensitivityModel[[#This Row],[Gross Dollars Recovered]]-SensitivityModel[[#This Row],[Audit &amp; Collection Contingency Fee (20%)]]</f>
        <v>11310.4</v>
      </c>
      <c r="G23" s="18">
        <f>-(0.82-(Table1[[#Totals],[Reported Losses ($)]]-SensitivityModel[[#This Row],[Net Cash Recovered]])/Table1[[#Totals],[Allocated Premium ($)]])*10000</f>
        <v>-461.98471761459302</v>
      </c>
      <c r="H23" s="3"/>
      <c r="I23" s="3"/>
      <c r="L23" s="3"/>
      <c r="M23" s="8"/>
    </row>
    <row r="24" spans="1:13" ht="27" x14ac:dyDescent="0.35">
      <c r="A24" s="3" t="s">
        <v>46</v>
      </c>
      <c r="B24" s="7">
        <v>0.9</v>
      </c>
      <c r="C24" s="7">
        <v>0.75</v>
      </c>
      <c r="D24" s="5">
        <f>(SensitivityModel[[#This Row],[Flagged Recovery Rate]])*ReasonCodeLeaks[[#Totals],[flagged_dollars]]+(SensitivityModel[[#This Row],[Unflagged Recovery Rate]])*ReasonCodeLeaks[[#Totals],[unflagged_dollars]]</f>
        <v>18628.95</v>
      </c>
      <c r="E24" s="19">
        <f>(0.2)*SensitivityModel[[#This Row],[Gross Dollars Recovered]]</f>
        <v>3725.7900000000004</v>
      </c>
      <c r="F24" s="20">
        <f>SensitivityModel[[#This Row],[Gross Dollars Recovered]]-SensitivityModel[[#This Row],[Audit &amp; Collection Contingency Fee (20%)]]</f>
        <v>14903.16</v>
      </c>
      <c r="G24" s="18">
        <f>-(0.82-(Table1[[#Totals],[Reported Losses ($)]]-SensitivityModel[[#This Row],[Net Cash Recovered]])/Table1[[#Totals],[Allocated Premium ($)]])*10000</f>
        <v>-608.73463044322955</v>
      </c>
      <c r="H24" s="3"/>
      <c r="I24" s="3"/>
    </row>
  </sheetData>
  <pageMargins left="0.7" right="0.7" top="0.75" bottom="0.75" header="0.3" footer="0.3"/>
  <pageSetup orientation="portrait" horizontalDpi="0" verticalDpi="0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E8B99-BAD7-E742-BF75-5E1275752C7F}">
  <dimension ref="A1:G19"/>
  <sheetViews>
    <sheetView topLeftCell="A3" workbookViewId="0">
      <selection activeCell="L15" sqref="L15"/>
    </sheetView>
  </sheetViews>
  <sheetFormatPr baseColWidth="10" defaultRowHeight="16" x14ac:dyDescent="0.2"/>
  <cols>
    <col min="1" max="1" width="39" bestFit="1" customWidth="1"/>
    <col min="2" max="2" width="31.83203125" bestFit="1" customWidth="1"/>
    <col min="3" max="3" width="32.1640625" bestFit="1" customWidth="1"/>
    <col min="4" max="4" width="24.83203125" bestFit="1" customWidth="1"/>
    <col min="5" max="5" width="35.1640625" bestFit="1" customWidth="1"/>
    <col min="6" max="6" width="28.33203125" bestFit="1" customWidth="1"/>
    <col min="7" max="7" width="34" bestFit="1" customWidth="1"/>
  </cols>
  <sheetData>
    <row r="1" spans="1:7" ht="25" x14ac:dyDescent="0.3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</row>
    <row r="2" spans="1:7" ht="25" x14ac:dyDescent="0.3">
      <c r="A2" s="2" t="s">
        <v>0</v>
      </c>
      <c r="B2" s="2">
        <v>259</v>
      </c>
      <c r="C2" s="2">
        <v>78520</v>
      </c>
      <c r="D2" s="2">
        <v>53165</v>
      </c>
      <c r="E2" s="2">
        <v>30</v>
      </c>
      <c r="F2" s="2">
        <v>6335</v>
      </c>
      <c r="G2" s="2">
        <v>46830</v>
      </c>
    </row>
    <row r="3" spans="1:7" ht="25" x14ac:dyDescent="0.3">
      <c r="A3" s="2" t="s">
        <v>1</v>
      </c>
      <c r="B3" s="2">
        <v>249</v>
      </c>
      <c r="C3" s="2">
        <v>74525</v>
      </c>
      <c r="D3" s="2">
        <v>50256</v>
      </c>
      <c r="E3" s="2">
        <v>29</v>
      </c>
      <c r="F3" s="2">
        <v>5819</v>
      </c>
      <c r="G3" s="2">
        <v>44437</v>
      </c>
    </row>
    <row r="4" spans="1:7" ht="25" x14ac:dyDescent="0.3">
      <c r="A4" s="2" t="s">
        <v>2</v>
      </c>
      <c r="B4" s="2">
        <v>259</v>
      </c>
      <c r="C4" s="2">
        <v>78094</v>
      </c>
      <c r="D4" s="2">
        <v>53177</v>
      </c>
      <c r="E4" s="2">
        <v>26</v>
      </c>
      <c r="F4" s="2">
        <v>5507</v>
      </c>
      <c r="G4" s="2">
        <v>47670</v>
      </c>
    </row>
    <row r="5" spans="1:7" ht="25" x14ac:dyDescent="0.3">
      <c r="A5" s="2" t="s">
        <v>3</v>
      </c>
      <c r="B5" s="2">
        <v>233</v>
      </c>
      <c r="C5" s="2">
        <v>66052</v>
      </c>
      <c r="D5" s="2">
        <v>44156</v>
      </c>
      <c r="E5" s="2">
        <v>27</v>
      </c>
      <c r="F5" s="2">
        <v>4886</v>
      </c>
      <c r="G5" s="2">
        <v>39270</v>
      </c>
    </row>
    <row r="6" spans="1:7" ht="25" x14ac:dyDescent="0.3">
      <c r="A6" s="2" t="s">
        <v>26</v>
      </c>
      <c r="B6" s="2">
        <f>SUBTOTAL(109,LeakedInsuranceTypes[total_claims])</f>
        <v>1000</v>
      </c>
      <c r="C6" s="2">
        <f>SUBTOTAL(109,LeakedInsuranceTypes[total_billed])</f>
        <v>297191</v>
      </c>
      <c r="D6" s="2">
        <f>SUBTOTAL(109,LeakedInsuranceTypes[total_paid])</f>
        <v>200754</v>
      </c>
      <c r="E6" s="2">
        <f>SUBTOTAL(109,LeakedInsuranceTypes[leaked_claims_count])</f>
        <v>112</v>
      </c>
      <c r="F6" s="2">
        <f>SUBTOTAL(109,LeakedInsuranceTypes[leaked_dollars])</f>
        <v>22547</v>
      </c>
      <c r="G6" s="2">
        <f>SUBTOTAL(109,LeakedInsuranceTypes[adjusted_clean_paid])</f>
        <v>178207</v>
      </c>
    </row>
    <row r="10" spans="1:7" ht="27" x14ac:dyDescent="0.35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17</v>
      </c>
    </row>
    <row r="11" spans="1:7" ht="27" x14ac:dyDescent="0.35">
      <c r="A11" s="3" t="s">
        <v>18</v>
      </c>
      <c r="B11" s="3">
        <v>17</v>
      </c>
      <c r="C11" s="3">
        <v>3777</v>
      </c>
      <c r="D11" s="3">
        <v>10</v>
      </c>
      <c r="E11" s="3">
        <v>2310</v>
      </c>
      <c r="F11" s="3">
        <v>7</v>
      </c>
      <c r="G11" s="3">
        <v>1467</v>
      </c>
    </row>
    <row r="12" spans="1:7" ht="27" x14ac:dyDescent="0.35">
      <c r="A12" s="3" t="s">
        <v>19</v>
      </c>
      <c r="B12" s="3">
        <v>17</v>
      </c>
      <c r="C12" s="3">
        <v>3411</v>
      </c>
      <c r="D12" s="3">
        <v>14</v>
      </c>
      <c r="E12" s="3">
        <v>2768</v>
      </c>
      <c r="F12" s="3">
        <v>3</v>
      </c>
      <c r="G12" s="3">
        <v>643</v>
      </c>
    </row>
    <row r="13" spans="1:7" ht="27" x14ac:dyDescent="0.35">
      <c r="A13" s="3" t="s">
        <v>20</v>
      </c>
      <c r="B13" s="3">
        <v>14</v>
      </c>
      <c r="C13" s="3">
        <v>3287</v>
      </c>
      <c r="D13" s="3">
        <v>9</v>
      </c>
      <c r="E13" s="3">
        <v>2312</v>
      </c>
      <c r="F13" s="3">
        <v>5</v>
      </c>
      <c r="G13" s="3">
        <v>975</v>
      </c>
    </row>
    <row r="14" spans="1:7" ht="27" x14ac:dyDescent="0.35">
      <c r="A14" s="3" t="s">
        <v>21</v>
      </c>
      <c r="B14" s="3">
        <v>15</v>
      </c>
      <c r="C14" s="3">
        <v>3144</v>
      </c>
      <c r="D14" s="3">
        <v>4</v>
      </c>
      <c r="E14" s="3">
        <v>681</v>
      </c>
      <c r="F14" s="3">
        <v>11</v>
      </c>
      <c r="G14" s="3">
        <v>2463</v>
      </c>
    </row>
    <row r="15" spans="1:7" ht="27" x14ac:dyDescent="0.35">
      <c r="A15" s="3" t="s">
        <v>22</v>
      </c>
      <c r="B15" s="3">
        <v>16</v>
      </c>
      <c r="C15" s="3">
        <v>2947</v>
      </c>
      <c r="D15" s="3">
        <v>6</v>
      </c>
      <c r="E15" s="3">
        <v>1181</v>
      </c>
      <c r="F15" s="3">
        <v>10</v>
      </c>
      <c r="G15" s="3">
        <v>1766</v>
      </c>
    </row>
    <row r="16" spans="1:7" ht="27" x14ac:dyDescent="0.35">
      <c r="A16" s="3" t="s">
        <v>23</v>
      </c>
      <c r="B16" s="3">
        <v>13</v>
      </c>
      <c r="C16" s="3">
        <v>2590</v>
      </c>
      <c r="D16" s="3">
        <v>3</v>
      </c>
      <c r="E16" s="3">
        <v>473</v>
      </c>
      <c r="F16" s="3">
        <v>10</v>
      </c>
      <c r="G16" s="3">
        <v>2117</v>
      </c>
    </row>
    <row r="17" spans="1:7" ht="27" x14ac:dyDescent="0.35">
      <c r="A17" s="3" t="s">
        <v>24</v>
      </c>
      <c r="B17" s="3">
        <v>13</v>
      </c>
      <c r="C17" s="3">
        <v>2223</v>
      </c>
      <c r="D17" s="3">
        <v>6</v>
      </c>
      <c r="E17" s="3">
        <v>1060</v>
      </c>
      <c r="F17" s="3">
        <v>7</v>
      </c>
      <c r="G17" s="3">
        <v>1163</v>
      </c>
    </row>
    <row r="18" spans="1:7" ht="27" x14ac:dyDescent="0.35">
      <c r="A18" s="3" t="s">
        <v>25</v>
      </c>
      <c r="B18" s="3">
        <v>7</v>
      </c>
      <c r="C18" s="3">
        <v>1168</v>
      </c>
      <c r="D18" s="3">
        <v>4</v>
      </c>
      <c r="E18" s="3">
        <v>673</v>
      </c>
      <c r="F18" s="3">
        <v>3</v>
      </c>
      <c r="G18" s="3">
        <v>495</v>
      </c>
    </row>
    <row r="19" spans="1:7" ht="27" x14ac:dyDescent="0.35">
      <c r="A19" s="3" t="s">
        <v>26</v>
      </c>
      <c r="B19" s="3"/>
      <c r="C19" s="3">
        <f>SUBTOTAL(109,ReasonCodeLeaks[total_leaked_dollars])</f>
        <v>22547</v>
      </c>
      <c r="D19" s="3"/>
      <c r="E19" s="3">
        <f>SUBTOTAL(109,ReasonCodeLeaks[flagged_dollars])</f>
        <v>11458</v>
      </c>
      <c r="F19" s="3"/>
      <c r="G19" s="3">
        <f>SUBTOTAL(109,ReasonCodeLeaks[unflagged_dollars])</f>
        <v>11089</v>
      </c>
    </row>
  </sheetData>
  <pageMargins left="0.7" right="0.7" top="0.75" bottom="0.75" header="0.3" footer="0.3"/>
  <pageSetup orientation="portrait" horizontalDpi="0" verticalDpi="0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 &amp; Analysis</vt:lpstr>
      <vt:lpstr>Data_Summary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Badalamenti, Anthony Peter</dc:creator>
  <cp:lastModifiedBy>Badalamenti, Anthony Peter</cp:lastModifiedBy>
  <dcterms:created xsi:type="dcterms:W3CDTF">2026-10-26T22:13:57Z</dcterms:created>
  <dcterms:modified xsi:type="dcterms:W3CDTF">2026-10-26T23:39:50Z</dcterms:modified>
</cp:coreProperties>
</file>